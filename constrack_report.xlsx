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Zone Progress" sheetId="2" state="visible" r:id="rId2"/>
    <sheet xmlns:r="http://schemas.openxmlformats.org/officeDocument/2006/relationships" name="Timeline &amp; Work Rate" sheetId="3" state="visible" r:id="rId3"/>
    <sheet xmlns:r="http://schemas.openxmlformats.org/officeDocument/2006/relationships" name="Volume 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+0.0%;-0.0%"/>
    <numFmt numFmtId="167" formatCode="0.0"/>
    <numFmt numFmtId="168" formatCode="#,##0.0"/>
  </numFmts>
  <fonts count="23">
    <font>
      <name val="Calibri"/>
      <family val="2"/>
      <color theme="1"/>
      <sz val="11"/>
      <scheme val="minor"/>
    </font>
    <font>
      <name val="Arial"/>
      <b val="1"/>
      <color rgb="0000C6A7"/>
      <sz val="22"/>
    </font>
    <font>
      <name val="Arial"/>
      <color rgb="008A9BB0"/>
      <sz val="9"/>
    </font>
    <font>
      <name val="Arial"/>
      <b val="1"/>
      <color rgb="0000C6A7"/>
      <sz val="16"/>
    </font>
    <font>
      <name val="Arial"/>
      <b val="1"/>
      <color rgb="001B3A5C"/>
      <sz val="16"/>
    </font>
    <font>
      <name val="Arial"/>
      <b val="1"/>
      <color rgb="00F4A261"/>
      <sz val="16"/>
    </font>
    <font>
      <name val="Arial"/>
      <b val="1"/>
      <color rgb="0006D6A0"/>
      <sz val="16"/>
    </font>
    <font>
      <name val="Arial"/>
      <b val="1"/>
      <color rgb="FFFFFFFF"/>
      <sz val="12"/>
    </font>
    <font>
      <name val="Arial"/>
      <b val="1"/>
      <color rgb="001B3A5C"/>
      <sz val="9"/>
    </font>
    <font>
      <name val="Arial"/>
      <color rgb="000D1B2A"/>
      <sz val="9"/>
    </font>
    <font>
      <name val="Arial"/>
      <b val="1"/>
      <color rgb="000D1B2A"/>
      <sz val="10"/>
    </font>
    <font>
      <name val="Arial"/>
      <b val="1"/>
      <color rgb="00E63946"/>
      <sz val="10"/>
    </font>
    <font>
      <name val="Arial"/>
      <b val="1"/>
      <color rgb="FFFFFFFF"/>
      <sz val="10"/>
    </font>
    <font>
      <name val="Arial"/>
      <b val="1"/>
      <color rgb="000D1B2A"/>
      <sz val="9"/>
    </font>
    <font>
      <name val="Arial"/>
      <color rgb="001B3A5C"/>
      <sz val="10"/>
    </font>
    <font>
      <name val="Arial"/>
      <b val="1"/>
      <color rgb="0000C6A7"/>
      <sz val="10"/>
    </font>
    <font>
      <name val="Arial"/>
      <color rgb="00E63946"/>
      <sz val="9"/>
    </font>
    <font>
      <name val="Arial"/>
      <b val="1"/>
      <color rgb="0006D6A0"/>
      <sz val="9"/>
    </font>
    <font>
      <name val="Arial"/>
      <color rgb="0006D6A0"/>
      <sz val="9"/>
    </font>
    <font>
      <name val="Arial"/>
      <color rgb="00000000"/>
      <sz val="10"/>
    </font>
    <font>
      <name val="Arial"/>
      <color rgb="0000C6A7"/>
      <sz val="10"/>
    </font>
    <font>
      <name val="Arial"/>
      <color rgb="00E63946"/>
      <sz val="10"/>
    </font>
    <font>
      <name val="Arial"/>
      <i val="1"/>
      <color rgb="008A9BB0"/>
      <sz val="8"/>
    </font>
  </fonts>
  <fills count="4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FFF0F4F8"/>
      </patternFill>
    </fill>
    <fill>
      <patternFill patternType="solid">
        <fgColor rgb="001B3A5C"/>
      </patternFill>
    </fill>
    <fill>
      <patternFill patternType="solid">
        <fgColor rgb="FFFFFFFF"/>
      </patternFill>
    </fill>
    <fill>
      <patternFill patternType="solid">
        <fgColor rgb="009A6D64"/>
      </patternFill>
    </fill>
    <fill>
      <patternFill patternType="solid">
        <fgColor rgb="0019C898"/>
      </patternFill>
    </fill>
    <fill>
      <patternFill patternType="solid">
        <fgColor rgb="004EA282"/>
      </patternFill>
    </fill>
    <fill>
      <patternFill patternType="solid">
        <fgColor rgb="0043AA87"/>
      </patternFill>
    </fill>
    <fill>
      <patternFill patternType="solid">
        <fgColor rgb="00AE605C"/>
      </patternFill>
    </fill>
    <fill>
      <patternFill patternType="solid">
        <fgColor rgb="00A26861"/>
      </patternFill>
    </fill>
    <fill>
      <patternFill patternType="solid">
        <fgColor rgb="00CF484F"/>
      </patternFill>
    </fill>
    <fill>
      <patternFill patternType="solid">
        <fgColor rgb="0027BE92"/>
      </patternFill>
    </fill>
    <fill>
      <patternFill patternType="solid">
        <fgColor rgb="006D8D76"/>
      </patternFill>
    </fill>
    <fill>
      <patternFill patternType="solid">
        <fgColor rgb="0040AC88"/>
      </patternFill>
    </fill>
    <fill>
      <patternFill patternType="solid">
        <fgColor rgb="007E816F"/>
      </patternFill>
    </fill>
    <fill>
      <patternFill patternType="solid">
        <fgColor rgb="003EAE89"/>
      </patternFill>
    </fill>
    <fill>
      <patternFill patternType="solid">
        <fgColor rgb="009D6C63"/>
      </patternFill>
    </fill>
    <fill>
      <patternFill patternType="solid">
        <fgColor rgb="00867B6C"/>
      </patternFill>
    </fill>
    <fill>
      <patternFill patternType="solid">
        <fgColor rgb="008F7568"/>
      </patternFill>
    </fill>
    <fill>
      <patternFill patternType="solid">
        <fgColor rgb="00BE5455"/>
      </patternFill>
    </fill>
    <fill>
      <patternFill patternType="solid">
        <fgColor rgb="0014CC9A"/>
      </patternFill>
    </fill>
    <fill>
      <patternFill patternType="solid">
        <fgColor rgb="00BC5656"/>
      </patternFill>
    </fill>
    <fill>
      <patternFill patternType="solid">
        <fgColor rgb="00A5665F"/>
      </patternFill>
    </fill>
    <fill>
      <patternFill patternType="solid">
        <fgColor rgb="005C997D"/>
      </patternFill>
    </fill>
    <fill>
      <patternFill patternType="solid">
        <fgColor rgb="0035B48C"/>
      </patternFill>
    </fill>
    <fill>
      <patternFill patternType="solid">
        <fgColor rgb="00DD3E49"/>
      </patternFill>
    </fill>
    <fill>
      <patternFill patternType="solid">
        <fgColor rgb="005A9B7E"/>
      </patternFill>
    </fill>
    <fill>
      <patternFill patternType="solid">
        <fgColor rgb="00C74E52"/>
      </patternFill>
    </fill>
    <fill>
      <patternFill patternType="solid">
        <fgColor rgb="00927367"/>
      </patternFill>
    </fill>
    <fill>
      <patternFill patternType="solid">
        <fgColor rgb="00847D6D"/>
      </patternFill>
    </fill>
    <fill>
      <patternFill patternType="solid">
        <fgColor rgb="00E03C48"/>
      </patternFill>
    </fill>
    <fill>
      <patternFill patternType="solid">
        <fgColor rgb="0062957A"/>
      </patternFill>
    </fill>
    <fill>
      <patternFill patternType="solid">
        <fgColor rgb="00C15254"/>
      </patternFill>
    </fill>
    <fill>
      <patternFill patternType="solid">
        <fgColor rgb="00947166"/>
      </patternFill>
    </fill>
    <fill>
      <patternFill patternType="solid">
        <fgColor rgb="00CA4C51"/>
      </patternFill>
    </fill>
    <fill>
      <patternFill patternType="solid">
        <fgColor rgb="008C776A"/>
      </patternFill>
    </fill>
    <fill>
      <patternFill patternType="solid">
        <fgColor rgb="0046A886"/>
      </patternFill>
    </fill>
    <fill>
      <patternFill patternType="solid">
        <fgColor rgb="002DBA90"/>
      </patternFill>
    </fill>
    <fill>
      <patternFill patternType="solid">
        <fgColor rgb="0030B88F"/>
      </patternFill>
    </fill>
    <fill>
      <patternFill patternType="solid">
        <fgColor rgb="00579D7F"/>
      </patternFill>
    </fill>
  </fills>
  <borders count="7">
    <border>
      <left/>
      <right/>
      <top/>
      <bottom/>
      <diagonal/>
    </border>
    <border>
      <bottom style="medium">
        <color rgb="0000C6A7"/>
      </bottom>
    </border>
    <border>
      <bottom style="medium">
        <color rgb="001B3A5C"/>
      </bottom>
    </border>
    <border>
      <bottom style="medium">
        <color rgb="00F4A261"/>
      </bottom>
    </border>
    <border>
      <bottom style="medium">
        <color rgb="0006D6A0"/>
      </bottom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0" fontId="8" fillId="6" borderId="5" applyAlignment="1" pivotButton="0" quotePrefix="0" xfId="0">
      <alignment horizontal="left" vertical="center" wrapText="1"/>
    </xf>
    <xf numFmtId="0" fontId="9" fillId="6" borderId="5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164" fontId="10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left" vertical="center" wrapText="1"/>
    </xf>
    <xf numFmtId="164" fontId="10" fillId="6" borderId="5" applyAlignment="1" pivotButton="0" quotePrefix="0" xfId="0">
      <alignment horizontal="left" vertical="center" wrapText="1"/>
    </xf>
    <xf numFmtId="0" fontId="2" fillId="6" borderId="5" applyAlignment="1" pivotButton="0" quotePrefix="0" xfId="0">
      <alignment horizontal="left" vertical="center" wrapText="1"/>
    </xf>
    <xf numFmtId="164" fontId="11" fillId="4" borderId="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2" fillId="2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 wrapText="1"/>
    </xf>
    <xf numFmtId="165" fontId="14" fillId="4" borderId="5" applyAlignment="1" pivotButton="0" quotePrefix="0" xfId="0">
      <alignment horizontal="center" vertical="center" wrapText="1"/>
    </xf>
    <xf numFmtId="165" fontId="15" fillId="4" borderId="5" applyAlignment="1" pivotButton="0" quotePrefix="0" xfId="0">
      <alignment horizontal="center" vertical="center" wrapText="1"/>
    </xf>
    <xf numFmtId="164" fontId="16" fillId="4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center" vertical="center" wrapText="1"/>
    </xf>
    <xf numFmtId="166" fontId="18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left" vertical="center" wrapText="1"/>
    </xf>
    <xf numFmtId="0" fontId="2" fillId="6" borderId="5" applyAlignment="1" pivotButton="0" quotePrefix="0" xfId="0">
      <alignment horizontal="center" vertical="center" wrapText="1"/>
    </xf>
    <xf numFmtId="165" fontId="14" fillId="6" borderId="5" applyAlignment="1" pivotButton="0" quotePrefix="0" xfId="0">
      <alignment horizontal="center" vertical="center" wrapText="1"/>
    </xf>
    <xf numFmtId="165" fontId="15" fillId="6" borderId="5" applyAlignment="1" pivotButton="0" quotePrefix="0" xfId="0">
      <alignment horizontal="center" vertical="center" wrapText="1"/>
    </xf>
    <xf numFmtId="164" fontId="16" fillId="6" borderId="5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166" fontId="18" fillId="6" borderId="5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center" wrapText="1"/>
    </xf>
    <xf numFmtId="165" fontId="12" fillId="5" borderId="6" applyAlignment="1" pivotButton="0" quotePrefix="0" xfId="0">
      <alignment horizontal="center" vertical="center"/>
    </xf>
    <xf numFmtId="164" fontId="12" fillId="5" borderId="6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0" fillId="6" borderId="5" applyAlignment="1" pivotButton="0" quotePrefix="0" xfId="0">
      <alignment horizontal="center" vertical="center" wrapText="1"/>
    </xf>
    <xf numFmtId="165" fontId="11" fillId="6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165" fontId="11" fillId="4" borderId="5" applyAlignment="1" pivotButton="0" quotePrefix="0" xfId="0">
      <alignment horizontal="center" vertical="center" wrapText="1"/>
    </xf>
    <xf numFmtId="165" fontId="12" fillId="5" borderId="0" applyAlignment="1" pivotButton="0" quotePrefix="0" xfId="0">
      <alignment horizontal="center" vertical="center"/>
    </xf>
    <xf numFmtId="165" fontId="19" fillId="6" borderId="5" applyAlignment="1" pivotButton="0" quotePrefix="0" xfId="0">
      <alignment horizontal="center" vertical="center" wrapText="1"/>
    </xf>
    <xf numFmtId="165" fontId="20" fillId="6" borderId="5" applyAlignment="1" pivotButton="0" quotePrefix="0" xfId="0">
      <alignment horizontal="center" vertical="center" wrapText="1"/>
    </xf>
    <xf numFmtId="166" fontId="11" fillId="6" borderId="0" applyAlignment="1" pivotButton="0" quotePrefix="0" xfId="0">
      <alignment horizontal="center" vertical="center"/>
    </xf>
    <xf numFmtId="165" fontId="21" fillId="6" borderId="5" applyAlignment="1" pivotButton="0" quotePrefix="0" xfId="0">
      <alignment horizontal="center" vertical="center" wrapText="1"/>
    </xf>
    <xf numFmtId="165" fontId="19" fillId="4" borderId="5" applyAlignment="1" pivotButton="0" quotePrefix="0" xfId="0">
      <alignment horizontal="center" vertical="center" wrapText="1"/>
    </xf>
    <xf numFmtId="165" fontId="20" fillId="4" borderId="5" applyAlignment="1" pivotButton="0" quotePrefix="0" xfId="0">
      <alignment horizontal="center" vertical="center" wrapText="1"/>
    </xf>
    <xf numFmtId="166" fontId="11" fillId="4" borderId="0" applyAlignment="1" pivotButton="0" quotePrefix="0" xfId="0">
      <alignment horizontal="center" vertical="center"/>
    </xf>
    <xf numFmtId="165" fontId="21" fillId="4" borderId="5" applyAlignment="1" pivotButton="0" quotePrefix="0" xfId="0">
      <alignment horizontal="center" vertical="center" wrapText="1"/>
    </xf>
    <xf numFmtId="167" fontId="13" fillId="7" borderId="6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67" fontId="13" fillId="9" borderId="6" applyAlignment="1" pivotButton="0" quotePrefix="0" xfId="0">
      <alignment horizontal="center" vertical="center"/>
    </xf>
    <xf numFmtId="167" fontId="13" fillId="10" borderId="6" applyAlignment="1" pivotButton="0" quotePrefix="0" xfId="0">
      <alignment horizontal="center" vertical="center"/>
    </xf>
    <xf numFmtId="167" fontId="13" fillId="11" borderId="6" applyAlignment="1" pivotButton="0" quotePrefix="0" xfId="0">
      <alignment horizontal="center" vertical="center"/>
    </xf>
    <xf numFmtId="167" fontId="13" fillId="12" borderId="6" applyAlignment="1" pivotButton="0" quotePrefix="0" xfId="0">
      <alignment horizontal="center" vertical="center"/>
    </xf>
    <xf numFmtId="167" fontId="13" fillId="13" borderId="6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167" fontId="13" fillId="15" borderId="6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167" fontId="13" fillId="17" borderId="6" applyAlignment="1" pivotButton="0" quotePrefix="0" xfId="0">
      <alignment horizontal="center" vertical="center"/>
    </xf>
    <xf numFmtId="167" fontId="13" fillId="18" borderId="6" applyAlignment="1" pivotButton="0" quotePrefix="0" xfId="0">
      <alignment horizontal="center" vertical="center"/>
    </xf>
    <xf numFmtId="167" fontId="13" fillId="19" borderId="6" applyAlignment="1" pivotButton="0" quotePrefix="0" xfId="0">
      <alignment horizontal="center" vertical="center"/>
    </xf>
    <xf numFmtId="167" fontId="13" fillId="20" borderId="6" applyAlignment="1" pivotButton="0" quotePrefix="0" xfId="0">
      <alignment horizontal="center" vertical="center"/>
    </xf>
    <xf numFmtId="167" fontId="13" fillId="21" borderId="6" applyAlignment="1" pivotButton="0" quotePrefix="0" xfId="0">
      <alignment horizontal="center" vertical="center"/>
    </xf>
    <xf numFmtId="167" fontId="13" fillId="22" borderId="6" applyAlignment="1" pivotButton="0" quotePrefix="0" xfId="0">
      <alignment horizontal="center" vertical="center"/>
    </xf>
    <xf numFmtId="167" fontId="13" fillId="23" borderId="6" applyAlignment="1" pivotButton="0" quotePrefix="0" xfId="0">
      <alignment horizontal="center" vertical="center"/>
    </xf>
    <xf numFmtId="167" fontId="13" fillId="24" borderId="6" applyAlignment="1" pivotButton="0" quotePrefix="0" xfId="0">
      <alignment horizontal="center" vertical="center"/>
    </xf>
    <xf numFmtId="167" fontId="13" fillId="25" borderId="6" applyAlignment="1" pivotButton="0" quotePrefix="0" xfId="0">
      <alignment horizontal="center" vertical="center"/>
    </xf>
    <xf numFmtId="167" fontId="13" fillId="26" borderId="6" applyAlignment="1" pivotButton="0" quotePrefix="0" xfId="0">
      <alignment horizontal="center" vertical="center"/>
    </xf>
    <xf numFmtId="167" fontId="13" fillId="27" borderId="6" applyAlignment="1" pivotButton="0" quotePrefix="0" xfId="0">
      <alignment horizontal="center" vertical="center"/>
    </xf>
    <xf numFmtId="167" fontId="13" fillId="28" borderId="6" applyAlignment="1" pivotButton="0" quotePrefix="0" xfId="0">
      <alignment horizontal="center" vertical="center"/>
    </xf>
    <xf numFmtId="167" fontId="13" fillId="29" borderId="6" applyAlignment="1" pivotButton="0" quotePrefix="0" xfId="0">
      <alignment horizontal="center" vertical="center"/>
    </xf>
    <xf numFmtId="167" fontId="13" fillId="30" borderId="6" applyAlignment="1" pivotButton="0" quotePrefix="0" xfId="0">
      <alignment horizontal="center" vertical="center"/>
    </xf>
    <xf numFmtId="167" fontId="13" fillId="31" borderId="6" applyAlignment="1" pivotButton="0" quotePrefix="0" xfId="0">
      <alignment horizontal="center" vertical="center"/>
    </xf>
    <xf numFmtId="167" fontId="13" fillId="32" borderId="6" applyAlignment="1" pivotButton="0" quotePrefix="0" xfId="0">
      <alignment horizontal="center" vertical="center"/>
    </xf>
    <xf numFmtId="167" fontId="13" fillId="33" borderId="6" applyAlignment="1" pivotButton="0" quotePrefix="0" xfId="0">
      <alignment horizontal="center" vertical="center"/>
    </xf>
    <xf numFmtId="167" fontId="13" fillId="34" borderId="6" applyAlignment="1" pivotButton="0" quotePrefix="0" xfId="0">
      <alignment horizontal="center" vertical="center"/>
    </xf>
    <xf numFmtId="167" fontId="13" fillId="35" borderId="6" applyAlignment="1" pivotButton="0" quotePrefix="0" xfId="0">
      <alignment horizontal="center" vertical="center"/>
    </xf>
    <xf numFmtId="167" fontId="13" fillId="36" borderId="6" applyAlignment="1" pivotButton="0" quotePrefix="0" xfId="0">
      <alignment horizontal="center" vertical="center"/>
    </xf>
    <xf numFmtId="167" fontId="13" fillId="37" borderId="6" applyAlignment="1" pivotButton="0" quotePrefix="0" xfId="0">
      <alignment horizontal="center" vertical="center"/>
    </xf>
    <xf numFmtId="167" fontId="13" fillId="38" borderId="6" applyAlignment="1" pivotButton="0" quotePrefix="0" xfId="0">
      <alignment horizontal="center" vertical="center"/>
    </xf>
    <xf numFmtId="167" fontId="13" fillId="39" borderId="6" applyAlignment="1" pivotButton="0" quotePrefix="0" xfId="0">
      <alignment horizontal="center" vertical="center"/>
    </xf>
    <xf numFmtId="167" fontId="13" fillId="40" borderId="6" applyAlignment="1" pivotButton="0" quotePrefix="0" xfId="0">
      <alignment horizontal="center" vertical="center"/>
    </xf>
    <xf numFmtId="167" fontId="13" fillId="41" borderId="6" applyAlignment="1" pivotButton="0" quotePrefix="0" xfId="0">
      <alignment horizontal="center" vertical="center"/>
    </xf>
    <xf numFmtId="167" fontId="13" fillId="42" borderId="6" applyAlignment="1" pivotButton="0" quotePrefix="0" xfId="0">
      <alignment horizontal="center" vertical="center"/>
    </xf>
    <xf numFmtId="168" fontId="12" fillId="5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6A7"/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 xml:space="preserve">  CONSTRACK — PROGRESS REPORT</t>
        </is>
      </c>
    </row>
    <row r="2" ht="6" customHeight="1"/>
    <row r="3" ht="18" customHeight="1">
      <c r="A3" s="2" t="inlineStr">
        <is>
          <t xml:space="preserve">  Generated: 2026-06-05   |   Run ID: 665f1c2d3e4f5a6b7c8d9e0f   |   Alignment: HIGH   |   Forecast: 2026-08-15</t>
        </is>
      </c>
    </row>
    <row r="5" ht="8" customHeight="1"/>
    <row r="6" ht="36" customHeight="1">
      <c r="C6" s="3" t="inlineStr">
        <is>
          <t>65.5%</t>
        </is>
      </c>
      <c r="D6" s="4" t="inlineStr">
        <is>
          <t>6</t>
        </is>
      </c>
      <c r="E6" s="5" t="inlineStr">
        <is>
          <t>2026-08-15</t>
        </is>
      </c>
      <c r="F6" s="6" t="inlineStr">
        <is>
          <t>HIGH</t>
        </is>
      </c>
    </row>
    <row r="7" ht="20" customHeight="1">
      <c r="C7" s="7" t="inlineStr">
        <is>
          <t>Overall Progress</t>
        </is>
      </c>
      <c r="D7" s="7" t="inlineStr">
        <is>
          <t>Active Zones</t>
        </is>
      </c>
      <c r="E7" s="7" t="inlineStr">
        <is>
          <t>Est. Completion</t>
        </is>
      </c>
      <c r="F7" s="7" t="inlineStr">
        <is>
          <t>Alignment</t>
        </is>
      </c>
    </row>
    <row r="8" ht="8" customHeight="1"/>
    <row r="10" ht="22" customHeight="1">
      <c r="A10" s="8" t="inlineStr">
        <is>
          <t xml:space="preserve">  Run Metadata</t>
        </is>
      </c>
    </row>
    <row r="11" ht="18" customHeight="1">
      <c r="A11" s="9" t="inlineStr">
        <is>
          <t>Run ID</t>
        </is>
      </c>
      <c r="B11" s="10" t="inlineStr">
        <is>
          <t>665f1c2d3e4f5a6b7c8d9e0f</t>
        </is>
      </c>
    </row>
    <row r="12" ht="18" customHeight="1">
      <c r="A12" s="11" t="inlineStr">
        <is>
          <t>T1 Scan</t>
        </is>
      </c>
      <c r="B12" s="12" t="inlineStr">
        <is>
          <t>scan_early_2026</t>
        </is>
      </c>
    </row>
    <row r="13" ht="18" customHeight="1">
      <c r="A13" s="9" t="inlineStr">
        <is>
          <t>T2 Scan</t>
        </is>
      </c>
      <c r="B13" s="10" t="inlineStr">
        <is>
          <t>scan_later_2026</t>
        </is>
      </c>
    </row>
    <row r="14" ht="18" customHeight="1">
      <c r="A14" s="11" t="inlineStr">
        <is>
          <t>Alignment</t>
        </is>
      </c>
      <c r="B14" s="12" t="inlineStr">
        <is>
          <t>HIGH</t>
        </is>
      </c>
    </row>
    <row r="15" ht="18" customHeight="1">
      <c r="A15" s="9" t="inlineStr">
        <is>
          <t>Forecast</t>
        </is>
      </c>
      <c r="B15" s="10" t="inlineStr">
        <is>
          <t>2026-08-15</t>
        </is>
      </c>
    </row>
    <row r="16" ht="18" customHeight="1">
      <c r="A16" s="11" t="inlineStr">
        <is>
          <t>Generated</t>
        </is>
      </c>
      <c r="B16" s="12" t="inlineStr">
        <is>
          <t>2026-06-05</t>
        </is>
      </c>
    </row>
    <row r="19" ht="22" customHeight="1">
      <c r="A19" s="8" t="inlineStr">
        <is>
          <t xml:space="preserve">  Volume Summary</t>
        </is>
      </c>
    </row>
    <row r="20" ht="18" customHeight="1">
      <c r="A20" s="12" t="inlineStr">
        <is>
          <t>Initial Volume (T1 Scan)</t>
        </is>
      </c>
      <c r="B20" s="13" t="n">
        <v>150.45</v>
      </c>
      <c r="C20" s="14" t="inlineStr">
        <is>
          <t>m³</t>
        </is>
      </c>
    </row>
    <row r="21" ht="18" customHeight="1">
      <c r="A21" s="10" t="inlineStr">
        <is>
          <t>Current Volume (T2 Scan)</t>
        </is>
      </c>
      <c r="B21" s="15" t="n">
        <v>120.15</v>
      </c>
      <c r="C21" s="16" t="inlineStr">
        <is>
          <t>m³</t>
        </is>
      </c>
    </row>
    <row r="22" ht="18" customHeight="1">
      <c r="A22" s="12" t="inlineStr">
        <is>
          <t>Net Volume Change (ΔV)</t>
        </is>
      </c>
      <c r="B22" s="17" t="n">
        <v>-30.3</v>
      </c>
      <c r="C22" s="14" t="inlineStr">
        <is>
          <t>m³</t>
        </is>
      </c>
    </row>
  </sheetData>
  <mergeCells count="4">
    <mergeCell ref="A3:F3"/>
    <mergeCell ref="A19:F19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2" customHeight="1">
      <c r="A1" s="18" t="inlineStr">
        <is>
          <t xml:space="preserve">  ZONE PROGRESS &amp; STATUS</t>
        </is>
      </c>
    </row>
    <row r="3" ht="22" customHeight="1">
      <c r="A3" s="19" t="inlineStr">
        <is>
          <t>Zone</t>
        </is>
      </c>
      <c r="B3" s="19" t="inlineStr">
        <is>
          <t>Type</t>
        </is>
      </c>
      <c r="C3" s="19" t="inlineStr">
        <is>
          <t>Target %</t>
        </is>
      </c>
      <c r="D3" s="19" t="inlineStr">
        <is>
          <t>Progress %</t>
        </is>
      </c>
      <c r="E3" s="19" t="inlineStr">
        <is>
          <t>ΔVol (m³)</t>
        </is>
      </c>
      <c r="F3" s="19" t="inlineStr">
        <is>
          <t>Status</t>
        </is>
      </c>
      <c r="G3" s="19" t="inlineStr">
        <is>
          <t>Gap</t>
        </is>
      </c>
    </row>
    <row r="4" ht="18" customHeight="1">
      <c r="A4" s="20" t="inlineStr">
        <is>
          <t>North Wing</t>
        </is>
      </c>
      <c r="B4" s="21" t="inlineStr">
        <is>
          <t>Structure</t>
        </is>
      </c>
      <c r="C4" s="22" t="n">
        <v>0.72</v>
      </c>
      <c r="D4" s="23" t="n">
        <v>0.8</v>
      </c>
      <c r="E4" s="24" t="n">
        <v>-20.1</v>
      </c>
      <c r="F4" s="25" t="inlineStr">
        <is>
          <t>On Track</t>
        </is>
      </c>
      <c r="G4" s="26" t="n">
        <v>0.08</v>
      </c>
    </row>
    <row r="5" ht="18" customHeight="1">
      <c r="A5" s="27" t="inlineStr">
        <is>
          <t>South Block</t>
        </is>
      </c>
      <c r="B5" s="28" t="inlineStr">
        <is>
          <t>Foundation</t>
        </is>
      </c>
      <c r="C5" s="29" t="n">
        <v>0.45</v>
      </c>
      <c r="D5" s="30" t="n">
        <v>0.452</v>
      </c>
      <c r="E5" s="31" t="n">
        <v>-10.2</v>
      </c>
      <c r="F5" s="32" t="inlineStr">
        <is>
          <t>On Track</t>
        </is>
      </c>
      <c r="G5" s="33" t="n">
        <v>0.002000000000000028</v>
      </c>
    </row>
    <row r="6" ht="18" customHeight="1">
      <c r="A6" s="20" t="inlineStr">
        <is>
          <t>East Corridor</t>
        </is>
      </c>
      <c r="B6" s="21" t="inlineStr">
        <is>
          <t>Frame</t>
        </is>
      </c>
      <c r="C6" s="22" t="n">
        <v>0.6</v>
      </c>
      <c r="D6" s="23" t="n">
        <v>0.68</v>
      </c>
      <c r="E6" s="24" t="n">
        <v>-5.8</v>
      </c>
      <c r="F6" s="25" t="inlineStr">
        <is>
          <t>On Track</t>
        </is>
      </c>
      <c r="G6" s="26" t="n">
        <v>0.08</v>
      </c>
    </row>
    <row r="7" ht="18" customHeight="1">
      <c r="A7" s="27" t="inlineStr">
        <is>
          <t>West Annex</t>
        </is>
      </c>
      <c r="B7" s="28" t="inlineStr">
        <is>
          <t>Structure</t>
        </is>
      </c>
      <c r="C7" s="29" t="n">
        <v>0.55</v>
      </c>
      <c r="D7" s="30" t="n">
        <v>0.585</v>
      </c>
      <c r="E7" s="31" t="n">
        <v>-7.4</v>
      </c>
      <c r="F7" s="32" t="inlineStr">
        <is>
          <t>On Track</t>
        </is>
      </c>
      <c r="G7" s="33" t="n">
        <v>0.035</v>
      </c>
    </row>
    <row r="8" ht="18" customHeight="1">
      <c r="A8" s="20" t="inlineStr">
        <is>
          <t>Central Hub</t>
        </is>
      </c>
      <c r="B8" s="21" t="inlineStr">
        <is>
          <t>Interior</t>
        </is>
      </c>
      <c r="C8" s="22" t="n">
        <v>0.3</v>
      </c>
      <c r="D8" s="23" t="n">
        <v>0.35</v>
      </c>
      <c r="E8" s="24" t="n">
        <v>-3.2</v>
      </c>
      <c r="F8" s="25" t="inlineStr">
        <is>
          <t>On Track</t>
        </is>
      </c>
      <c r="G8" s="26" t="n">
        <v>0.05</v>
      </c>
    </row>
    <row r="9" ht="18" customHeight="1">
      <c r="A9" s="27" t="inlineStr">
        <is>
          <t>Roof Section A</t>
        </is>
      </c>
      <c r="B9" s="28" t="inlineStr">
        <is>
          <t>Roofing</t>
        </is>
      </c>
      <c r="C9" s="29" t="n">
        <v>0.88</v>
      </c>
      <c r="D9" s="30" t="n">
        <v>0.91</v>
      </c>
      <c r="E9" s="31" t="n">
        <v>-8.6</v>
      </c>
      <c r="F9" s="32" t="inlineStr">
        <is>
          <t>On Track</t>
        </is>
      </c>
      <c r="G9" s="33" t="n">
        <v>0.03</v>
      </c>
    </row>
    <row r="11" ht="20" customHeight="1">
      <c r="A11" s="34" t="inlineStr">
        <is>
          <t>AVERAGE</t>
        </is>
      </c>
      <c r="C11" s="35">
        <f>AVERAGE(C4:C10)</f>
        <v/>
      </c>
      <c r="D11" s="35">
        <f>AVERAGE(D4:D10)</f>
        <v/>
      </c>
      <c r="E11" s="36">
        <f>SUM(E4:E10)</f>
        <v/>
      </c>
      <c r="G11" s="35">
        <f>AVERAGE(G4:G10)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A261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32" customHeight="1">
      <c r="A1" s="18" t="inlineStr">
        <is>
          <t xml:space="preserve">  TIMELINE &amp; WORK RATE ANALYTICS</t>
        </is>
      </c>
    </row>
    <row r="3" ht="20" customHeight="1">
      <c r="A3" s="37" t="inlineStr">
        <is>
          <t xml:space="preserve">  Weekly &amp; Cumulative Progress</t>
        </is>
      </c>
    </row>
    <row r="4" ht="20" customHeight="1">
      <c r="A4" s="19" t="inlineStr">
        <is>
          <t>Week</t>
        </is>
      </c>
      <c r="B4" s="19" t="inlineStr">
        <is>
          <t>Planned %</t>
        </is>
      </c>
      <c r="C4" s="19" t="inlineStr">
        <is>
          <t>Actual %</t>
        </is>
      </c>
      <c r="D4" s="19" t="inlineStr">
        <is>
          <t>Cum. Planned</t>
        </is>
      </c>
      <c r="E4" s="19" t="inlineStr">
        <is>
          <t>Cum. Actual</t>
        </is>
      </c>
    </row>
    <row r="5" ht="18" customHeight="1">
      <c r="A5" s="38" t="inlineStr">
        <is>
          <t>W1</t>
        </is>
      </c>
      <c r="B5" s="29" t="n">
        <v>0.06</v>
      </c>
      <c r="C5" s="39" t="n">
        <v>0.052</v>
      </c>
      <c r="D5" s="29" t="n">
        <v>0.06</v>
      </c>
      <c r="E5" s="30" t="n">
        <v>0.052</v>
      </c>
    </row>
    <row r="6" ht="18" customHeight="1">
      <c r="A6" s="40" t="inlineStr">
        <is>
          <t>W2</t>
        </is>
      </c>
      <c r="B6" s="22" t="n">
        <v>0.07000000000000001</v>
      </c>
      <c r="C6" s="41" t="n">
        <v>0.068</v>
      </c>
      <c r="D6" s="22" t="n">
        <v>0.13</v>
      </c>
      <c r="E6" s="23" t="n">
        <v>0.12</v>
      </c>
    </row>
    <row r="7" ht="18" customHeight="1">
      <c r="A7" s="38" t="inlineStr">
        <is>
          <t>W3</t>
        </is>
      </c>
      <c r="B7" s="29" t="n">
        <v>0.08</v>
      </c>
      <c r="C7" s="39" t="n">
        <v>0.07099999999999999</v>
      </c>
      <c r="D7" s="29" t="n">
        <v>0.21</v>
      </c>
      <c r="E7" s="30" t="n">
        <v>0.191</v>
      </c>
    </row>
    <row r="8" ht="18" customHeight="1">
      <c r="A8" s="40" t="inlineStr">
        <is>
          <t>W4</t>
        </is>
      </c>
      <c r="B8" s="22" t="n">
        <v>0.09</v>
      </c>
      <c r="C8" s="41" t="n">
        <v>0.08400000000000001</v>
      </c>
      <c r="D8" s="22" t="n">
        <v>0.3</v>
      </c>
      <c r="E8" s="23" t="n">
        <v>0.275</v>
      </c>
    </row>
    <row r="9" ht="18" customHeight="1">
      <c r="A9" s="38" t="inlineStr">
        <is>
          <t>W5</t>
        </is>
      </c>
      <c r="B9" s="29" t="n">
        <v>0.1</v>
      </c>
      <c r="C9" s="39" t="n">
        <v>0.09</v>
      </c>
      <c r="D9" s="29" t="n">
        <v>0.4</v>
      </c>
      <c r="E9" s="30" t="n">
        <v>0.365</v>
      </c>
    </row>
    <row r="10" ht="18" customHeight="1">
      <c r="A10" s="40" t="inlineStr">
        <is>
          <t>W6</t>
        </is>
      </c>
      <c r="B10" s="22" t="n">
        <v>0.11</v>
      </c>
      <c r="C10" s="41" t="n">
        <v>0.102</v>
      </c>
      <c r="D10" s="22" t="n">
        <v>0.51</v>
      </c>
      <c r="E10" s="23" t="n">
        <v>0.467</v>
      </c>
    </row>
    <row r="11" ht="18" customHeight="1">
      <c r="A11" s="38" t="inlineStr">
        <is>
          <t>W7</t>
        </is>
      </c>
      <c r="B11" s="29" t="n">
        <v>0.12</v>
      </c>
      <c r="C11" s="39" t="n">
        <v>0.115</v>
      </c>
      <c r="D11" s="29" t="n">
        <v>0.63</v>
      </c>
      <c r="E11" s="30" t="n">
        <v>0.5820000000000001</v>
      </c>
    </row>
    <row r="12" ht="18" customHeight="1">
      <c r="A12" s="40" t="inlineStr">
        <is>
          <t>W8</t>
        </is>
      </c>
      <c r="B12" s="22" t="n">
        <v>0.13</v>
      </c>
      <c r="C12" s="41" t="n">
        <v>0.123</v>
      </c>
      <c r="D12" s="22" t="n">
        <v>0.76</v>
      </c>
      <c r="E12" s="23" t="n">
        <v>0.655</v>
      </c>
    </row>
    <row r="13" ht="20" customHeight="1">
      <c r="A13" s="34" t="inlineStr">
        <is>
          <t>TOTAL/AVG</t>
        </is>
      </c>
      <c r="B13" s="42">
        <f>AVERAGE(B5:B12)</f>
        <v/>
      </c>
      <c r="C13" s="42">
        <f>AVERAGE(C5:C12)</f>
        <v/>
      </c>
      <c r="D13" s="42">
        <f>MAX(D5:D12)</f>
        <v/>
      </c>
      <c r="E13" s="42">
        <f>MAX(E5:E12)</f>
        <v/>
      </c>
    </row>
    <row r="15" ht="20" customHeight="1">
      <c r="A15" s="37" t="inlineStr">
        <is>
          <t xml:space="preserve">  Schedule Gap Analysis</t>
        </is>
      </c>
    </row>
    <row r="16">
      <c r="A16" s="19" t="inlineStr">
        <is>
          <t>Week</t>
        </is>
      </c>
      <c r="B16" s="19" t="inlineStr">
        <is>
          <t>Planned</t>
        </is>
      </c>
      <c r="C16" s="19" t="inlineStr">
        <is>
          <t>Actual</t>
        </is>
      </c>
      <c r="D16" s="19" t="inlineStr">
        <is>
          <t>Gap</t>
        </is>
      </c>
      <c r="E16" s="19" t="inlineStr">
        <is>
          <t>Gap %</t>
        </is>
      </c>
    </row>
    <row r="17" ht="18" customHeight="1">
      <c r="A17" s="38" t="inlineStr">
        <is>
          <t>W1</t>
        </is>
      </c>
      <c r="B17" s="43" t="n">
        <v>0.06</v>
      </c>
      <c r="C17" s="44" t="n">
        <v>0.052</v>
      </c>
      <c r="D17" s="45" t="n">
        <v>-0.007999999999999998</v>
      </c>
      <c r="E17" s="46">
        <f>D17/B17</f>
        <v/>
      </c>
    </row>
    <row r="18" ht="18" customHeight="1">
      <c r="A18" s="40" t="inlineStr">
        <is>
          <t>W2</t>
        </is>
      </c>
      <c r="B18" s="47" t="n">
        <v>0.13</v>
      </c>
      <c r="C18" s="48" t="n">
        <v>0.12</v>
      </c>
      <c r="D18" s="49" t="n">
        <v>-0.01</v>
      </c>
      <c r="E18" s="50">
        <f>D18/B18</f>
        <v/>
      </c>
    </row>
    <row r="19" ht="18" customHeight="1">
      <c r="A19" s="38" t="inlineStr">
        <is>
          <t>W3</t>
        </is>
      </c>
      <c r="B19" s="43" t="n">
        <v>0.21</v>
      </c>
      <c r="C19" s="44" t="n">
        <v>0.191</v>
      </c>
      <c r="D19" s="45" t="n">
        <v>-0.01899999999999999</v>
      </c>
      <c r="E19" s="46">
        <f>D19/B19</f>
        <v/>
      </c>
    </row>
    <row r="20" ht="18" customHeight="1">
      <c r="A20" s="40" t="inlineStr">
        <is>
          <t>W4</t>
        </is>
      </c>
      <c r="B20" s="47" t="n">
        <v>0.3</v>
      </c>
      <c r="C20" s="48" t="n">
        <v>0.275</v>
      </c>
      <c r="D20" s="49" t="n">
        <v>-0.025</v>
      </c>
      <c r="E20" s="50">
        <f>D20/B20</f>
        <v/>
      </c>
    </row>
    <row r="21" ht="18" customHeight="1">
      <c r="A21" s="38" t="inlineStr">
        <is>
          <t>W5</t>
        </is>
      </c>
      <c r="B21" s="43" t="n">
        <v>0.4</v>
      </c>
      <c r="C21" s="44" t="n">
        <v>0.365</v>
      </c>
      <c r="D21" s="45" t="n">
        <v>-0.035</v>
      </c>
      <c r="E21" s="46">
        <f>D21/B21</f>
        <v/>
      </c>
    </row>
    <row r="22" ht="18" customHeight="1">
      <c r="A22" s="40" t="inlineStr">
        <is>
          <t>W6</t>
        </is>
      </c>
      <c r="B22" s="47" t="n">
        <v>0.51</v>
      </c>
      <c r="C22" s="48" t="n">
        <v>0.467</v>
      </c>
      <c r="D22" s="49" t="n">
        <v>-0.04299999999999997</v>
      </c>
      <c r="E22" s="50">
        <f>D22/B22</f>
        <v/>
      </c>
    </row>
    <row r="23" ht="18" customHeight="1">
      <c r="A23" s="38" t="inlineStr">
        <is>
          <t>W7</t>
        </is>
      </c>
      <c r="B23" s="43" t="n">
        <v>0.63</v>
      </c>
      <c r="C23" s="44" t="n">
        <v>0.5820000000000001</v>
      </c>
      <c r="D23" s="45" t="n">
        <v>-0.04799999999999997</v>
      </c>
      <c r="E23" s="46">
        <f>D23/B23</f>
        <v/>
      </c>
    </row>
    <row r="24" ht="18" customHeight="1">
      <c r="A24" s="40" t="inlineStr">
        <is>
          <t>W8</t>
        </is>
      </c>
      <c r="B24" s="47" t="n">
        <v>0.76</v>
      </c>
      <c r="C24" s="48" t="n">
        <v>0.655</v>
      </c>
      <c r="D24" s="49" t="n">
        <v>-0.105</v>
      </c>
      <c r="E24" s="50">
        <f>D24/B24</f>
        <v/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3946"/>
    <outlinePr summaryBelow="1" summaryRight="1"/>
    <pageSetUpPr/>
  </sheetPr>
  <dimension ref="A1:I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18" t="inlineStr">
        <is>
          <t xml:space="preserve">  VOLUME CHANGE HEATMAP (m³) — ZONES × WEEKS</t>
        </is>
      </c>
    </row>
    <row r="3" ht="20" customHeight="1">
      <c r="A3" s="19" t="inlineStr">
        <is>
          <t>Zone / Week</t>
        </is>
      </c>
      <c r="B3" s="19" t="inlineStr">
        <is>
          <t>W1</t>
        </is>
      </c>
      <c r="C3" s="19" t="inlineStr">
        <is>
          <t>W2</t>
        </is>
      </c>
      <c r="D3" s="19" t="inlineStr">
        <is>
          <t>W3</t>
        </is>
      </c>
      <c r="E3" s="19" t="inlineStr">
        <is>
          <t>W4</t>
        </is>
      </c>
      <c r="F3" s="19" t="inlineStr">
        <is>
          <t>W5</t>
        </is>
      </c>
      <c r="G3" s="19" t="inlineStr">
        <is>
          <t>W6</t>
        </is>
      </c>
      <c r="H3" s="19" t="inlineStr">
        <is>
          <t>W7</t>
        </is>
      </c>
      <c r="I3" s="19" t="inlineStr">
        <is>
          <t>W8</t>
        </is>
      </c>
    </row>
    <row r="4" ht="20" customHeight="1">
      <c r="A4" s="20" t="inlineStr">
        <is>
          <t>North Wing</t>
        </is>
      </c>
      <c r="B4" s="51" t="n">
        <v>-5.3</v>
      </c>
      <c r="C4" s="52" t="n">
        <v>-0.7</v>
      </c>
      <c r="D4" s="53" t="n">
        <v>-2.6</v>
      </c>
      <c r="E4" s="54" t="n">
        <v>-2.2</v>
      </c>
      <c r="F4" s="55" t="n">
        <v>-6</v>
      </c>
      <c r="G4" s="56" t="n">
        <v>-5.6</v>
      </c>
      <c r="H4" s="57" t="n">
        <v>-7.2</v>
      </c>
      <c r="I4" s="58" t="n">
        <v>-1.2</v>
      </c>
    </row>
    <row r="5" ht="20" customHeight="1">
      <c r="A5" s="27" t="inlineStr">
        <is>
          <t>South Block</t>
        </is>
      </c>
      <c r="B5" s="59" t="n">
        <v>-3.7</v>
      </c>
      <c r="C5" s="52" t="n">
        <v>-0.7</v>
      </c>
      <c r="D5" s="60" t="n">
        <v>-2.1</v>
      </c>
      <c r="E5" s="61" t="n">
        <v>-4.3</v>
      </c>
      <c r="F5" s="52" t="n">
        <v>-0.7</v>
      </c>
      <c r="G5" s="62" t="n">
        <v>-2</v>
      </c>
      <c r="H5" s="63" t="n">
        <v>-5.4</v>
      </c>
      <c r="I5" s="64" t="n">
        <v>-4.6</v>
      </c>
    </row>
    <row r="6" ht="20" customHeight="1">
      <c r="A6" s="20" t="inlineStr">
        <is>
          <t>East Corridor</t>
        </is>
      </c>
      <c r="B6" s="54" t="n">
        <v>-2.2</v>
      </c>
      <c r="C6" s="65" t="n">
        <v>-4.9</v>
      </c>
      <c r="D6" s="66" t="n">
        <v>-6.6</v>
      </c>
      <c r="E6" s="67" t="n">
        <v>-0.5</v>
      </c>
      <c r="F6" s="68" t="n">
        <v>-6.5</v>
      </c>
      <c r="G6" s="69" t="n">
        <v>-5.7</v>
      </c>
      <c r="H6" s="70" t="n">
        <v>-3.1</v>
      </c>
      <c r="I6" s="71" t="n">
        <v>-1.7</v>
      </c>
    </row>
    <row r="7" ht="20" customHeight="1">
      <c r="A7" s="27" t="inlineStr">
        <is>
          <t>West Annex</t>
        </is>
      </c>
      <c r="B7" s="72" t="n">
        <v>-7.7</v>
      </c>
      <c r="C7" s="73" t="n">
        <v>-3</v>
      </c>
      <c r="D7" s="58" t="n">
        <v>-1.2</v>
      </c>
      <c r="E7" s="58" t="n">
        <v>-1.2</v>
      </c>
      <c r="F7" s="74" t="n">
        <v>-6.9</v>
      </c>
      <c r="G7" s="75" t="n">
        <v>-5</v>
      </c>
      <c r="H7" s="66" t="n">
        <v>-6.6</v>
      </c>
      <c r="I7" s="55" t="n">
        <v>-6</v>
      </c>
    </row>
    <row r="8" ht="20" customHeight="1">
      <c r="A8" s="20" t="inlineStr">
        <is>
          <t>Central Hub</t>
        </is>
      </c>
      <c r="B8" s="76" t="n">
        <v>-4.5</v>
      </c>
      <c r="C8" s="77" t="n">
        <v>-7.8</v>
      </c>
      <c r="D8" s="78" t="n">
        <v>-3.3</v>
      </c>
      <c r="E8" s="64" t="n">
        <v>-4.6</v>
      </c>
      <c r="F8" s="79" t="n">
        <v>-6.7</v>
      </c>
      <c r="G8" s="80" t="n">
        <v>-5.1</v>
      </c>
      <c r="H8" s="81" t="n">
        <v>-7</v>
      </c>
      <c r="I8" s="82" t="n">
        <v>-4.8</v>
      </c>
    </row>
    <row r="9" ht="20" customHeight="1">
      <c r="A9" s="27" t="inlineStr">
        <is>
          <t>Roof Section A</t>
        </is>
      </c>
      <c r="B9" s="83" t="n">
        <v>-2.3</v>
      </c>
      <c r="C9" s="71" t="n">
        <v>-1.7</v>
      </c>
      <c r="D9" s="71" t="n">
        <v>-1.7</v>
      </c>
      <c r="E9" s="84" t="n">
        <v>-1.4</v>
      </c>
      <c r="F9" s="85" t="n">
        <v>-1.5</v>
      </c>
      <c r="G9" s="86" t="n">
        <v>-2.9</v>
      </c>
      <c r="H9" s="83" t="n">
        <v>-2.3</v>
      </c>
      <c r="I9" s="54" t="n">
        <v>-2.2</v>
      </c>
    </row>
    <row r="10" ht="20" customHeight="1">
      <c r="A10" s="34" t="inlineStr">
        <is>
          <t>TOTAL</t>
        </is>
      </c>
      <c r="B10" s="87">
        <f>SUM(B4:B9)</f>
        <v/>
      </c>
      <c r="C10" s="87">
        <f>SUM(C4:C9)</f>
        <v/>
      </c>
      <c r="D10" s="87">
        <f>SUM(D4:D9)</f>
        <v/>
      </c>
      <c r="E10" s="87">
        <f>SUM(E4:E9)</f>
        <v/>
      </c>
      <c r="F10" s="87">
        <f>SUM(F4:F9)</f>
        <v/>
      </c>
      <c r="G10" s="87">
        <f>SUM(G4:G9)</f>
        <v/>
      </c>
      <c r="H10" s="87">
        <f>SUM(H4:H9)</f>
        <v/>
      </c>
      <c r="I10" s="87">
        <f>SUM(I4:I9)</f>
        <v/>
      </c>
    </row>
    <row r="12">
      <c r="A12" s="88" t="inlineStr">
        <is>
          <t>Color Scale: Red = Low Activity (-8 m³) → Green = High Activity (0 m³)</t>
        </is>
      </c>
    </row>
  </sheetData>
  <mergeCells count="2">
    <mergeCell ref="A1:I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2026-06-05T13:11:15Z</dcterms:created>
  <dcterms:modified xmlns:dcterms="http://purl.org/dc/terms/" xmlns:xsi="http://www.w3.org/2001/XMLSchema-instance" xsi:type="dcterms:W3CDTF">2026-06-05T13:11:15Z</dcterms:modified>
</cp:coreProperties>
</file>